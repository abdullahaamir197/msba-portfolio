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ist-logistics-turnaround\01-operational-transformation\financial-impact\"/>
    </mc:Choice>
  </mc:AlternateContent>
  <xr:revisionPtr revIDLastSave="0" documentId="8_{F7F882E1-B433-4048-AD27-C31FF8DDD171}" xr6:coauthVersionLast="47" xr6:coauthVersionMax="47" xr10:uidLastSave="{00000000-0000-0000-0000-000000000000}"/>
  <bookViews>
    <workbookView xWindow="-110" yWindow="-110" windowWidth="19420" windowHeight="10420" xr2:uid="{700D8076-5006-4183-9760-E8A8B5993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1" l="1"/>
  <c r="B34" i="1" s="1"/>
  <c r="B25" i="1"/>
  <c r="B27" i="1" s="1"/>
  <c r="B17" i="1"/>
  <c r="B19" i="1"/>
  <c r="B9" i="1"/>
  <c r="B10" i="1" s="1"/>
  <c r="B11" i="1" s="1"/>
  <c r="B5" i="1"/>
  <c r="B20" i="1" l="1"/>
  <c r="B36" i="1" s="1"/>
  <c r="B37" i="1" s="1"/>
</calcChain>
</file>

<file path=xl/sharedStrings.xml><?xml version="1.0" encoding="utf-8"?>
<sst xmlns="http://schemas.openxmlformats.org/spreadsheetml/2006/main" count="56" uniqueCount="56">
  <si>
    <t>Backlog Story Points</t>
  </si>
  <si>
    <t>Cost per Story Point (BRL)</t>
  </si>
  <si>
    <t>API Integration Setup Fee (BRL)</t>
  </si>
  <si>
    <t>Total Implementation Cost (BRL)</t>
  </si>
  <si>
    <t>Baseline Logistics Spend (BRL)</t>
  </si>
  <si>
    <t>Mandated Cost Reduction Target</t>
  </si>
  <si>
    <t>Required Quarterly Savings (BRL)</t>
  </si>
  <si>
    <t>Monthly Savings Target (BRL)</t>
  </si>
  <si>
    <t>Payback Period (Months)</t>
  </si>
  <si>
    <t>--- LEVER 1: REGIONAL GEO-FENCING ---</t>
  </si>
  <si>
    <t>Baseline Quarterly Interstate Shipments</t>
  </si>
  <si>
    <t>Avg Interstate Freight per Item (BRL)</t>
  </si>
  <si>
    <t>Avg Local Freight per Item (BRL)</t>
  </si>
  <si>
    <t>Freight Spread Saved per Shifted Item (BRL)</t>
  </si>
  <si>
    <t>Interstate Volume Shifted to Local (%)</t>
  </si>
  <si>
    <t>Total Items Shifted to Local</t>
  </si>
  <si>
    <t>Quarterly Savings from Lever 1 (BRL)</t>
  </si>
  <si>
    <t>--- LEVER 2: MARGIN FLOOR GUARDRAIL ---</t>
  </si>
  <si>
    <t>Quarterly Orders with Negative Margin</t>
  </si>
  <si>
    <t>Avg Freight Deficit per Order (BRL)</t>
  </si>
  <si>
    <t>Total Potential Cash Bleed (BRL)</t>
  </si>
  <si>
    <t>Loss Elimination Rate (%)</t>
  </si>
  <si>
    <t>Quarterly Savings from Lever 2 (BRL)</t>
  </si>
  <si>
    <t>1. --- LEVER 3: MULTI-SELLER CONSOLIDATION ---</t>
  </si>
  <si>
    <t>Baseline Quarterly Multi-Seller Orders</t>
  </si>
  <si>
    <t>Freight Penalty per Split Order (BRL)</t>
  </si>
  <si>
    <t>Consolidation Success Rate (%)</t>
  </si>
  <si>
    <t>Total Orders Successfully Consolidated</t>
  </si>
  <si>
    <t>Quarterly Savings from Lever 3 (BRL)</t>
  </si>
  <si>
    <t>TOTAL PROJECTED QUARTERLY SAVINGS (BRL)</t>
  </si>
  <si>
    <t>Effective Cost Reduction Percentage</t>
  </si>
  <si>
    <t>Operational Variable</t>
  </si>
  <si>
    <t>Conservative (Downside)</t>
  </si>
  <si>
    <t>Base Case (Our Model)</t>
  </si>
  <si>
    <t>Aggressive (Upside)</t>
  </si>
  <si>
    <t>Lever 1: Interstate Shift %</t>
  </si>
  <si>
    <t>Lever 2: Loss Elimination %</t>
  </si>
  <si>
    <t>Lever 3: Consolidation Rate %</t>
  </si>
  <si>
    <t>Total Quarterly Savings (BRL)</t>
  </si>
  <si>
    <t>R$ 184,980</t>
  </si>
  <si>
    <t>R$ 271,860</t>
  </si>
  <si>
    <t>R$ 353,580</t>
  </si>
  <si>
    <t>Cost Reduction % (vs. R$ 2.25M)</t>
  </si>
  <si>
    <t>Payback Period</t>
  </si>
  <si>
    <t>0.65 months (20 days)</t>
  </si>
  <si>
    <t>0.44 months (13 days)</t>
  </si>
  <si>
    <t>0.34 months (10 days)</t>
  </si>
  <si>
    <t>15% (Only 2,700 items)</t>
  </si>
  <si>
    <t>25% (4,500 items)</t>
  </si>
  <si>
    <t>35% (6,300 items)</t>
  </si>
  <si>
    <t>70% (More edge cases slip)</t>
  </si>
  <si>
    <t>90% (Clean resolution)</t>
  </si>
  <si>
    <t>95% (Near-perfect automation)</t>
  </si>
  <si>
    <t>60% (Sellers fail to bundle)</t>
  </si>
  <si>
    <t>80% (Standard bundle)</t>
  </si>
  <si>
    <t>90% (High bundling)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</si>
</sst>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Courier New"/>
      <family val="3"/>
    </font>
    <font>
      <sz val="10"/>
      <name val="Aptos Narrow"/>
      <family val="2"/>
      <scheme val="minor"/>
    </font>
    <font>
      <b/>
      <sz val="10"/>
      <name val="Courier New"/>
      <family val="3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10" fontId="4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30BD2A-3493-4B1A-8D42-D48993482CF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e42b89-a62c-41e0-95ff-a60a89c39c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B4DE-C9C2-49B3-83BC-888B98EEB4D1}">
  <dimension ref="A2:H37"/>
  <sheetViews>
    <sheetView tabSelected="1" zoomScale="94" workbookViewId="0">
      <selection activeCell="E4" sqref="E4:H10"/>
    </sheetView>
  </sheetViews>
  <sheetFormatPr defaultRowHeight="13" x14ac:dyDescent="0.35"/>
  <cols>
    <col min="1" max="1" width="52.08984375" style="2" customWidth="1"/>
    <col min="2" max="2" width="14" style="2" bestFit="1" customWidth="1"/>
    <col min="3" max="4" width="8.7265625" style="2"/>
    <col min="5" max="5" width="17.7265625" style="2" customWidth="1"/>
    <col min="6" max="6" width="26.08984375" style="2" customWidth="1"/>
    <col min="7" max="7" width="21.26953125" style="2" customWidth="1"/>
    <col min="8" max="8" width="23.1796875" style="2" customWidth="1"/>
    <col min="9" max="16384" width="8.7265625" style="2"/>
  </cols>
  <sheetData>
    <row r="2" spans="1:8" x14ac:dyDescent="0.35">
      <c r="A2" s="1" t="s">
        <v>0</v>
      </c>
      <c r="B2" s="1">
        <v>29</v>
      </c>
    </row>
    <row r="3" spans="1:8" x14ac:dyDescent="0.35">
      <c r="A3" s="1" t="s">
        <v>1</v>
      </c>
      <c r="B3" s="1">
        <v>1200</v>
      </c>
    </row>
    <row r="4" spans="1:8" x14ac:dyDescent="0.35">
      <c r="A4" s="1" t="s">
        <v>2</v>
      </c>
      <c r="B4" s="1">
        <v>5000</v>
      </c>
      <c r="E4" s="6" t="s">
        <v>31</v>
      </c>
      <c r="F4" s="6" t="s">
        <v>32</v>
      </c>
      <c r="G4" s="6" t="s">
        <v>33</v>
      </c>
      <c r="H4" s="6" t="s">
        <v>34</v>
      </c>
    </row>
    <row r="5" spans="1:8" ht="26" x14ac:dyDescent="0.35">
      <c r="A5" s="1" t="s">
        <v>3</v>
      </c>
      <c r="B5" s="3">
        <f>(B2 * B3) + B4</f>
        <v>39800</v>
      </c>
      <c r="E5" s="6" t="s">
        <v>35</v>
      </c>
      <c r="F5" s="6" t="s">
        <v>47</v>
      </c>
      <c r="G5" s="6" t="s">
        <v>48</v>
      </c>
      <c r="H5" s="6" t="s">
        <v>49</v>
      </c>
    </row>
    <row r="6" spans="1:8" ht="26" x14ac:dyDescent="0.35">
      <c r="E6" s="6" t="s">
        <v>36</v>
      </c>
      <c r="F6" s="6" t="s">
        <v>50</v>
      </c>
      <c r="G6" s="6" t="s">
        <v>51</v>
      </c>
      <c r="H6" s="6" t="s">
        <v>52</v>
      </c>
    </row>
    <row r="7" spans="1:8" ht="26" x14ac:dyDescent="0.35">
      <c r="A7" s="1" t="s">
        <v>4</v>
      </c>
      <c r="B7" s="1">
        <v>2250000</v>
      </c>
      <c r="E7" s="6" t="s">
        <v>37</v>
      </c>
      <c r="F7" s="6" t="s">
        <v>53</v>
      </c>
      <c r="G7" s="6" t="s">
        <v>54</v>
      </c>
      <c r="H7" s="6" t="s">
        <v>55</v>
      </c>
    </row>
    <row r="8" spans="1:8" ht="26" x14ac:dyDescent="0.35">
      <c r="A8" s="1" t="s">
        <v>5</v>
      </c>
      <c r="B8" s="4">
        <v>0.12</v>
      </c>
      <c r="E8" s="6" t="s">
        <v>38</v>
      </c>
      <c r="F8" s="6" t="s">
        <v>39</v>
      </c>
      <c r="G8" s="6" t="s">
        <v>40</v>
      </c>
      <c r="H8" s="6" t="s">
        <v>41</v>
      </c>
    </row>
    <row r="9" spans="1:8" ht="26" x14ac:dyDescent="0.35">
      <c r="A9" s="1" t="s">
        <v>6</v>
      </c>
      <c r="B9" s="3">
        <f>B7 * B8</f>
        <v>270000</v>
      </c>
      <c r="E9" s="6" t="s">
        <v>42</v>
      </c>
      <c r="F9" s="7">
        <v>8.2199999999999995E-2</v>
      </c>
      <c r="G9" s="7">
        <v>0.1208</v>
      </c>
      <c r="H9" s="7">
        <v>0.15709999999999999</v>
      </c>
    </row>
    <row r="10" spans="1:8" ht="13.5" x14ac:dyDescent="0.35">
      <c r="A10" s="1" t="s">
        <v>7</v>
      </c>
      <c r="B10" s="3">
        <f>B9 / 3</f>
        <v>90000</v>
      </c>
      <c r="E10" s="6" t="s">
        <v>43</v>
      </c>
      <c r="F10" s="6" t="s">
        <v>44</v>
      </c>
      <c r="G10" s="6" t="s">
        <v>45</v>
      </c>
      <c r="H10" s="6" t="s">
        <v>46</v>
      </c>
    </row>
    <row r="11" spans="1:8" ht="13.5" x14ac:dyDescent="0.35">
      <c r="A11" s="1" t="s">
        <v>8</v>
      </c>
      <c r="B11" s="3">
        <f>B5 / B10</f>
        <v>0.44222222222222224</v>
      </c>
    </row>
    <row r="13" spans="1:8" x14ac:dyDescent="0.35">
      <c r="A13" s="1" t="s">
        <v>9</v>
      </c>
    </row>
    <row r="14" spans="1:8" x14ac:dyDescent="0.35">
      <c r="A14" s="1" t="s">
        <v>10</v>
      </c>
      <c r="B14" s="1">
        <v>18000</v>
      </c>
    </row>
    <row r="15" spans="1:8" x14ac:dyDescent="0.35">
      <c r="A15" s="1" t="s">
        <v>11</v>
      </c>
      <c r="B15" s="1">
        <v>42</v>
      </c>
    </row>
    <row r="16" spans="1:8" x14ac:dyDescent="0.35">
      <c r="A16" s="1" t="s">
        <v>12</v>
      </c>
      <c r="B16" s="1">
        <v>15</v>
      </c>
    </row>
    <row r="17" spans="1:2" ht="13.5" x14ac:dyDescent="0.35">
      <c r="A17" s="1" t="s">
        <v>13</v>
      </c>
      <c r="B17" s="3">
        <f>B15 - B16</f>
        <v>27</v>
      </c>
    </row>
    <row r="18" spans="1:2" x14ac:dyDescent="0.35">
      <c r="A18" s="1" t="s">
        <v>14</v>
      </c>
      <c r="B18" s="4">
        <v>0.25</v>
      </c>
    </row>
    <row r="19" spans="1:2" ht="13.5" x14ac:dyDescent="0.35">
      <c r="A19" s="1" t="s">
        <v>15</v>
      </c>
      <c r="B19" s="3">
        <f>B14 * B18</f>
        <v>4500</v>
      </c>
    </row>
    <row r="20" spans="1:2" ht="13.5" x14ac:dyDescent="0.35">
      <c r="A20" s="1" t="s">
        <v>16</v>
      </c>
      <c r="B20" s="3">
        <f>B19 * B17</f>
        <v>121500</v>
      </c>
    </row>
    <row r="22" spans="1:2" x14ac:dyDescent="0.35">
      <c r="A22" s="1" t="s">
        <v>17</v>
      </c>
    </row>
    <row r="23" spans="1:2" x14ac:dyDescent="0.35">
      <c r="A23" s="1" t="s">
        <v>18</v>
      </c>
      <c r="B23" s="1">
        <v>4200</v>
      </c>
    </row>
    <row r="24" spans="1:2" x14ac:dyDescent="0.35">
      <c r="A24" s="1" t="s">
        <v>19</v>
      </c>
      <c r="B24" s="1">
        <v>22</v>
      </c>
    </row>
    <row r="25" spans="1:2" ht="13.5" x14ac:dyDescent="0.35">
      <c r="A25" s="1" t="s">
        <v>20</v>
      </c>
      <c r="B25" s="3">
        <f>B23 * B24</f>
        <v>92400</v>
      </c>
    </row>
    <row r="26" spans="1:2" x14ac:dyDescent="0.35">
      <c r="A26" s="1" t="s">
        <v>21</v>
      </c>
      <c r="B26" s="4">
        <v>0.9</v>
      </c>
    </row>
    <row r="27" spans="1:2" ht="13.5" x14ac:dyDescent="0.35">
      <c r="A27" s="1" t="s">
        <v>22</v>
      </c>
      <c r="B27" s="3">
        <f>B25 * B26</f>
        <v>83160</v>
      </c>
    </row>
    <row r="29" spans="1:2" x14ac:dyDescent="0.35">
      <c r="A29" s="5" t="s">
        <v>23</v>
      </c>
    </row>
    <row r="30" spans="1:2" x14ac:dyDescent="0.35">
      <c r="A30" s="1" t="s">
        <v>24</v>
      </c>
      <c r="B30" s="1">
        <v>3000</v>
      </c>
    </row>
    <row r="31" spans="1:2" x14ac:dyDescent="0.35">
      <c r="A31" s="1" t="s">
        <v>25</v>
      </c>
      <c r="B31" s="1">
        <v>28</v>
      </c>
    </row>
    <row r="32" spans="1:2" x14ac:dyDescent="0.35">
      <c r="A32" s="1" t="s">
        <v>26</v>
      </c>
      <c r="B32" s="4">
        <v>0.8</v>
      </c>
    </row>
    <row r="33" spans="1:2" ht="13.5" x14ac:dyDescent="0.35">
      <c r="A33" s="1" t="s">
        <v>27</v>
      </c>
      <c r="B33" s="3">
        <f>B30 * B32</f>
        <v>2400</v>
      </c>
    </row>
    <row r="34" spans="1:2" ht="13.5" x14ac:dyDescent="0.35">
      <c r="A34" s="1" t="s">
        <v>28</v>
      </c>
      <c r="B34" s="3">
        <f>B33 * B31</f>
        <v>67200</v>
      </c>
    </row>
    <row r="36" spans="1:2" ht="13.5" x14ac:dyDescent="0.35">
      <c r="A36" s="1" t="s">
        <v>29</v>
      </c>
      <c r="B36" s="3">
        <f>B20 + B27 + B34</f>
        <v>271860</v>
      </c>
    </row>
    <row r="37" spans="1:2" ht="13.5" x14ac:dyDescent="0.35">
      <c r="A37" s="1" t="s">
        <v>30</v>
      </c>
      <c r="B37" s="3">
        <f>B36 / B7 %</f>
        <v>12.082666666666666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(FA22-BDS-002) ABDULLAH AAMIR</dc:creator>
  <cp:lastModifiedBy>(FA22-BDS-002) ABDULLAH AAMIR</cp:lastModifiedBy>
  <dcterms:created xsi:type="dcterms:W3CDTF">2026-09-30T20:11:36Z</dcterms:created>
  <dcterms:modified xsi:type="dcterms:W3CDTF">2026-10-01T09:48:54Z</dcterms:modified>
</cp:coreProperties>
</file>